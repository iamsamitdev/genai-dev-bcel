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<sst xmlns="http://schemas.openxmlformats.org/spreadsheetml/2006/main" count="71" uniqueCount="66">
  <si>
    <t xml:space="preserve">ตารางสต็อกสินค้าคงคลังรวม 3 คลัง (Master)</t>
  </si>
  <si>
    <t xml:space="preserve">รหัสสินค้า (SKU)</t>
  </si>
  <si>
    <t xml:space="preserve">ชื่อสินค้า</t>
  </si>
  <si>
    <t xml:space="preserve">หมวดหมู่</t>
  </si>
  <si>
    <t xml:space="preserve">หน่วย</t>
  </si>
  <si>
    <t xml:space="preserve">ต้นทุน/หน่วย (บาท)</t>
  </si>
  <si>
    <t xml:space="preserve">จุดสั่งซื้อ (ROP)</t>
  </si>
  <si>
    <t xml:space="preserve">คงเหลือ-กรุงเทพ</t>
  </si>
  <si>
    <t xml:space="preserve">คงเหลือ-เชียงใหม่</t>
  </si>
  <si>
    <t xml:space="preserve">คงเหลือ-ขอนแก่น</t>
  </si>
  <si>
    <t xml:space="preserve">รวมคงเหลือ</t>
  </si>
  <si>
    <t xml:space="preserve">มูลค่าคงเหลือ (บาท)</t>
  </si>
  <si>
    <t xml:space="preserve">สถานะ</t>
  </si>
  <si>
    <t xml:space="preserve">SKU-1001</t>
  </si>
  <si>
    <t xml:space="preserve">น็อตสกรูหัวกลม M6</t>
  </si>
  <si>
    <t xml:space="preserve">อะไหล่</t>
  </si>
  <si>
    <t xml:space="preserve">กล่อง</t>
  </si>
  <si>
    <t xml:space="preserve">SKU-1002</t>
  </si>
  <si>
    <t xml:space="preserve">สายไฟ THW 2.5 sq.mm</t>
  </si>
  <si>
    <t xml:space="preserve">ไฟฟ้า</t>
  </si>
  <si>
    <t xml:space="preserve">ม้วน</t>
  </si>
  <si>
    <t xml:space="preserve">SKU-1003</t>
  </si>
  <si>
    <t xml:space="preserve">หลอด LED 9W</t>
  </si>
  <si>
    <t xml:space="preserve">หลอด</t>
  </si>
  <si>
    <t xml:space="preserve">SKU-1004</t>
  </si>
  <si>
    <t xml:space="preserve">สีน้ำอะคริลิก ขาว 1 gl</t>
  </si>
  <si>
    <t xml:space="preserve">สี</t>
  </si>
  <si>
    <t xml:space="preserve">แกลลอน</t>
  </si>
  <si>
    <t xml:space="preserve">SKU-1005</t>
  </si>
  <si>
    <t xml:space="preserve">เทปพันสายไฟ</t>
  </si>
  <si>
    <t xml:space="preserve">SKU-1006</t>
  </si>
  <si>
    <t xml:space="preserve">ท่อ PVC 4 นิ้ว</t>
  </si>
  <si>
    <t xml:space="preserve">ประปา</t>
  </si>
  <si>
    <t xml:space="preserve">เส้น</t>
  </si>
  <si>
    <t xml:space="preserve">SKU-1007</t>
  </si>
  <si>
    <t xml:space="preserve">กาวตะปู</t>
  </si>
  <si>
    <t xml:space="preserve">เคมีภัณฑ์</t>
  </si>
  <si>
    <t xml:space="preserve">SKU-1008</t>
  </si>
  <si>
    <t xml:space="preserve">ปูนซีเมนต์ 50 kg</t>
  </si>
  <si>
    <t xml:space="preserve">วัสดุก่อสร้าง</t>
  </si>
  <si>
    <t xml:space="preserve">ถุง</t>
  </si>
  <si>
    <t xml:space="preserve">SKU-1009</t>
  </si>
  <si>
    <t xml:space="preserve">แผ่นสังกะสี ลอนใหญ่</t>
  </si>
  <si>
    <t xml:space="preserve">หลังคา</t>
  </si>
  <si>
    <t xml:space="preserve">แผ่น</t>
  </si>
  <si>
    <t xml:space="preserve">SKU-1010</t>
  </si>
  <si>
    <t xml:space="preserve">ประแจเลื่อน 10 นิ้ว</t>
  </si>
  <si>
    <t xml:space="preserve">เครื่องมือ</t>
  </si>
  <si>
    <t xml:space="preserve">อัน</t>
  </si>
  <si>
    <t xml:space="preserve">SKU-1011</t>
  </si>
  <si>
    <t xml:space="preserve">ถุงมือหนัง</t>
  </si>
  <si>
    <t xml:space="preserve">อุปกรณ์เซฟตี้</t>
  </si>
  <si>
    <t xml:space="preserve">คู่</t>
  </si>
  <si>
    <t xml:space="preserve">SKU-1012</t>
  </si>
  <si>
    <t xml:space="preserve">สว่านไฟฟ้า 550W</t>
  </si>
  <si>
    <t xml:space="preserve">เครื่อง</t>
  </si>
  <si>
    <t xml:space="preserve">หมายเหตุ: คอลัมน์ G–I (คงเหลือแต่ละคลัง) ให้เติมจากไฟล์ CSV เท่านั้น | คอลัมน์ J, K, L ผูกสูตรไว้แล้ว ห้ามแก้ | ROP = จุดสั่งซื้อ (Reorder Point)</t>
  </si>
  <si>
    <t xml:space="preserve">แดชบอร์ดสรุปสต็อกคงคลัง</t>
  </si>
  <si>
    <t xml:space="preserve">มูลค่าสต็อกรวมทั้งหมด (บาท)</t>
  </si>
  <si>
    <t xml:space="preserve">จำนวนคงเหลือรวมทุกคลัง (หน่วย)</t>
  </si>
  <si>
    <t xml:space="preserve">จำนวน SKU ทั้งหมด</t>
  </si>
  <si>
    <t xml:space="preserve">จำนวน SKU ต่ำกว่าจุดสั่งซื้อ</t>
  </si>
  <si>
    <t xml:space="preserve">มูลค่าเฉลี่ยต่อ SKU (บาท)</t>
  </si>
  <si>
    <t xml:space="preserve">มูลค่าสต็อก-คลังกรุงเทพ (บาท)</t>
  </si>
  <si>
    <t xml:space="preserve">มูลค่าสต็อก-คลังเชียงใหม่ (บาท)</t>
  </si>
  <si>
    <t xml:space="preserve">มูลค่าสต็อก-คลังขอนแก่น (บาท)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</si>
</sst>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8"/>
    <col collapsed="false" customWidth="true" hidden="false" outlineLevel="0" max="12" min="12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3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 t="s">
        <v>13</v>
      </c>
      <c r="B3" s="4" t="s">
        <v>14</v>
      </c>
      <c r="C3" s="3" t="s">
        <v>15</v>
      </c>
      <c r="D3" s="3" t="s">
        <v>16</v>
      </c>
      <c r="E3" s="5" t="n">
        <v>85</v>
      </c>
      <c r="F3" s="5" t="n">
        <v>50</v>
      </c>
      <c r="G3" s="5" t="n">
        <v>40</v>
      </c>
      <c r="H3" s="5" t="n">
        <v>20</v>
      </c>
      <c r="I3" s="5" t="n">
        <v>15</v>
      </c>
      <c r="J3" s="5" t="n">
        <f aca="false">SUM(G3:I3)</f>
        <v>75</v>
      </c>
      <c r="K3" s="5" t="n">
        <f aca="false">J3*E3</f>
        <v>6375</v>
      </c>
      <c r="L3" s="3" t="str">
        <f aca="false">IF(J3&lt;=F3,"⚠️ ต้องสั่งเพิ่ม","✅ ปกติ")</f>
        <v>✅ ปกติ</v>
      </c>
    </row>
    <row r="4" customFormat="false" ht="15" hidden="false" customHeight="false" outlineLevel="0" collapsed="false">
      <c r="A4" s="6" t="s">
        <v>17</v>
      </c>
      <c r="B4" s="7" t="s">
        <v>18</v>
      </c>
      <c r="C4" s="6" t="s">
        <v>19</v>
      </c>
      <c r="D4" s="6" t="s">
        <v>20</v>
      </c>
      <c r="E4" s="8" t="n">
        <v>420</v>
      </c>
      <c r="F4" s="8" t="n">
        <v>20</v>
      </c>
      <c r="G4" s="5" t="n">
        <v>8</v>
      </c>
      <c r="H4" s="5" t="n">
        <v>6</v>
      </c>
      <c r="I4" s="5" t="n">
        <v>0</v>
      </c>
      <c r="J4" s="8" t="n">
        <f aca="false">SUM(G4:I4)</f>
        <v>14</v>
      </c>
      <c r="K4" s="8" t="n">
        <f aca="false">J4*E4</f>
        <v>5880</v>
      </c>
      <c r="L4" s="6" t="str">
        <f aca="false">IF(J4&lt;=F4,"⚠️ ต้องสั่งเพิ่ม","✅ ปกติ")</f>
        <v>⚠️ ต้องสั่งเพิ่ม</v>
      </c>
    </row>
    <row r="5" customFormat="false" ht="15" hidden="false" customHeight="false" outlineLevel="0" collapsed="false">
      <c r="A5" s="3" t="s">
        <v>21</v>
      </c>
      <c r="B5" s="4" t="s">
        <v>22</v>
      </c>
      <c r="C5" s="3" t="s">
        <v>19</v>
      </c>
      <c r="D5" s="3" t="s">
        <v>23</v>
      </c>
      <c r="E5" s="5" t="n">
        <v>65</v>
      </c>
      <c r="F5" s="5" t="n">
        <v>100</v>
      </c>
      <c r="G5" s="5" t="n">
        <v>60</v>
      </c>
      <c r="H5" s="5" t="n">
        <v>35</v>
      </c>
      <c r="I5" s="5" t="n">
        <v>25</v>
      </c>
      <c r="J5" s="5" t="n">
        <f aca="false">SUM(G5:I5)</f>
        <v>120</v>
      </c>
      <c r="K5" s="5" t="n">
        <f aca="false">J5*E5</f>
        <v>7800</v>
      </c>
      <c r="L5" s="3" t="str">
        <f aca="false">IF(J5&lt;=F5,"⚠️ ต้องสั่งเพิ่ม","✅ ปกติ")</f>
        <v>✅ ปกติ</v>
      </c>
    </row>
    <row r="6" customFormat="false" ht="15" hidden="false" customHeight="false" outlineLevel="0" collapsed="false">
      <c r="A6" s="6" t="s">
        <v>24</v>
      </c>
      <c r="B6" s="7" t="s">
        <v>25</v>
      </c>
      <c r="C6" s="6" t="s">
        <v>26</v>
      </c>
      <c r="D6" s="6" t="s">
        <v>27</v>
      </c>
      <c r="E6" s="8" t="n">
        <v>350</v>
      </c>
      <c r="F6" s="8" t="n">
        <v>30</v>
      </c>
      <c r="G6" s="5" t="n">
        <v>22</v>
      </c>
      <c r="H6" s="5" t="n">
        <v>10</v>
      </c>
      <c r="I6" s="5" t="n">
        <v>9</v>
      </c>
      <c r="J6" s="8" t="n">
        <f aca="false">SUM(G6:I6)</f>
        <v>41</v>
      </c>
      <c r="K6" s="8" t="n">
        <f aca="false">J6*E6</f>
        <v>14350</v>
      </c>
      <c r="L6" s="6" t="str">
        <f aca="false">IF(J6&lt;=F6,"⚠️ ต้องสั่งเพิ่ม","✅ ปกติ")</f>
        <v>✅ ปกติ</v>
      </c>
    </row>
    <row r="7" customFormat="false" ht="15" hidden="false" customHeight="false" outlineLevel="0" collapsed="false">
      <c r="A7" s="3" t="s">
        <v>28</v>
      </c>
      <c r="B7" s="4" t="s">
        <v>29</v>
      </c>
      <c r="C7" s="3" t="s">
        <v>19</v>
      </c>
      <c r="D7" s="3" t="s">
        <v>20</v>
      </c>
      <c r="E7" s="5" t="n">
        <v>12</v>
      </c>
      <c r="F7" s="5" t="n">
        <v>200</v>
      </c>
      <c r="G7" s="5" t="n">
        <v>90</v>
      </c>
      <c r="H7" s="5" t="n">
        <v>70</v>
      </c>
      <c r="I7" s="5" t="n">
        <v>60</v>
      </c>
      <c r="J7" s="5" t="n">
        <f aca="false">SUM(G7:I7)</f>
        <v>220</v>
      </c>
      <c r="K7" s="5" t="n">
        <f aca="false">J7*E7</f>
        <v>2640</v>
      </c>
      <c r="L7" s="3" t="str">
        <f aca="false">IF(J7&lt;=F7,"⚠️ ต้องสั่งเพิ่ม","✅ ปกติ")</f>
        <v>✅ ปกติ</v>
      </c>
    </row>
    <row r="8" customFormat="false" ht="15" hidden="false" customHeight="false" outlineLevel="0" collapsed="false">
      <c r="A8" s="6" t="s">
        <v>30</v>
      </c>
      <c r="B8" s="7" t="s">
        <v>31</v>
      </c>
      <c r="C8" s="6" t="s">
        <v>32</v>
      </c>
      <c r="D8" s="6" t="s">
        <v>33</v>
      </c>
      <c r="E8" s="8" t="n">
        <v>180</v>
      </c>
      <c r="F8" s="8" t="n">
        <v>40</v>
      </c>
      <c r="G8" s="5" t="n">
        <v>15</v>
      </c>
      <c r="H8" s="5" t="n">
        <v>18</v>
      </c>
      <c r="I8" s="5" t="n">
        <v>12</v>
      </c>
      <c r="J8" s="8" t="n">
        <f aca="false">SUM(G8:I8)</f>
        <v>45</v>
      </c>
      <c r="K8" s="8" t="n">
        <f aca="false">J8*E8</f>
        <v>8100</v>
      </c>
      <c r="L8" s="6" t="str">
        <f aca="false">IF(J8&lt;=F8,"⚠️ ต้องสั่งเพิ่ม","✅ ปกติ")</f>
        <v>✅ ปกติ</v>
      </c>
    </row>
    <row r="9" customFormat="false" ht="15" hidden="false" customHeight="false" outlineLevel="0" collapsed="false">
      <c r="A9" s="3" t="s">
        <v>34</v>
      </c>
      <c r="B9" s="4" t="s">
        <v>35</v>
      </c>
      <c r="C9" s="3" t="s">
        <v>36</v>
      </c>
      <c r="D9" s="3" t="s">
        <v>23</v>
      </c>
      <c r="E9" s="5" t="n">
        <v>95</v>
      </c>
      <c r="F9" s="5" t="n">
        <v>60</v>
      </c>
      <c r="G9" s="5" t="n">
        <v>30</v>
      </c>
      <c r="H9" s="5" t="n">
        <v>25</v>
      </c>
      <c r="I9" s="5" t="n">
        <v>20</v>
      </c>
      <c r="J9" s="5" t="n">
        <f aca="false">SUM(G9:I9)</f>
        <v>75</v>
      </c>
      <c r="K9" s="5" t="n">
        <f aca="false">J9*E9</f>
        <v>7125</v>
      </c>
      <c r="L9" s="3" t="str">
        <f aca="false">IF(J9&lt;=F9,"⚠️ ต้องสั่งเพิ่ม","✅ ปกติ")</f>
        <v>✅ ปกติ</v>
      </c>
    </row>
    <row r="10" customFormat="false" ht="15" hidden="false" customHeight="false" outlineLevel="0" collapsed="false">
      <c r="A10" s="6" t="s">
        <v>37</v>
      </c>
      <c r="B10" s="7" t="s">
        <v>38</v>
      </c>
      <c r="C10" s="6" t="s">
        <v>39</v>
      </c>
      <c r="D10" s="6" t="s">
        <v>40</v>
      </c>
      <c r="E10" s="8" t="n">
        <v>155</v>
      </c>
      <c r="F10" s="8" t="n">
        <v>80</v>
      </c>
      <c r="G10" s="5" t="n">
        <v>45</v>
      </c>
      <c r="H10" s="5" t="n">
        <v>30</v>
      </c>
      <c r="I10" s="5" t="n">
        <v>28</v>
      </c>
      <c r="J10" s="8" t="n">
        <f aca="false">SUM(G10:I10)</f>
        <v>103</v>
      </c>
      <c r="K10" s="8" t="n">
        <f aca="false">J10*E10</f>
        <v>15965</v>
      </c>
      <c r="L10" s="6" t="str">
        <f aca="false">IF(J10&lt;=F10,"⚠️ ต้องสั่งเพิ่ม","✅ ปกติ")</f>
        <v>✅ ปกติ</v>
      </c>
    </row>
    <row r="11" customFormat="false" ht="15" hidden="false" customHeight="false" outlineLevel="0" collapsed="false">
      <c r="A11" s="3" t="s">
        <v>41</v>
      </c>
      <c r="B11" s="4" t="s">
        <v>42</v>
      </c>
      <c r="C11" s="3" t="s">
        <v>43</v>
      </c>
      <c r="D11" s="3" t="s">
        <v>44</v>
      </c>
      <c r="E11" s="5" t="n">
        <v>240</v>
      </c>
      <c r="F11" s="5" t="n">
        <v>35</v>
      </c>
      <c r="G11" s="5" t="n">
        <v>12</v>
      </c>
      <c r="H11" s="5" t="n">
        <v>0</v>
      </c>
      <c r="I11" s="5" t="n">
        <v>10</v>
      </c>
      <c r="J11" s="5" t="n">
        <f aca="false">SUM(G11:I11)</f>
        <v>22</v>
      </c>
      <c r="K11" s="5" t="n">
        <f aca="false">J11*E11</f>
        <v>5280</v>
      </c>
      <c r="L11" s="3" t="str">
        <f aca="false">IF(J11&lt;=F11,"⚠️ ต้องสั่งเพิ่ม","✅ ปกติ")</f>
        <v>⚠️ ต้องสั่งเพิ่ม</v>
      </c>
    </row>
    <row r="12" customFormat="false" ht="15" hidden="false" customHeight="false" outlineLevel="0" collapsed="false">
      <c r="A12" s="6" t="s">
        <v>45</v>
      </c>
      <c r="B12" s="7" t="s">
        <v>46</v>
      </c>
      <c r="C12" s="6" t="s">
        <v>47</v>
      </c>
      <c r="D12" s="6" t="s">
        <v>48</v>
      </c>
      <c r="E12" s="8" t="n">
        <v>210</v>
      </c>
      <c r="F12" s="8" t="n">
        <v>25</v>
      </c>
      <c r="G12" s="5" t="n">
        <v>9</v>
      </c>
      <c r="H12" s="5" t="n">
        <v>8</v>
      </c>
      <c r="I12" s="5" t="n">
        <v>0</v>
      </c>
      <c r="J12" s="8" t="n">
        <f aca="false">SUM(G12:I12)</f>
        <v>17</v>
      </c>
      <c r="K12" s="8" t="n">
        <f aca="false">J12*E12</f>
        <v>3570</v>
      </c>
      <c r="L12" s="6" t="str">
        <f aca="false">IF(J12&lt;=F12,"⚠️ ต้องสั่งเพิ่ม","✅ ปกติ")</f>
        <v>⚠️ ต้องสั่งเพิ่ม</v>
      </c>
    </row>
    <row r="13" customFormat="false" ht="15" hidden="false" customHeight="false" outlineLevel="0" collapsed="false">
      <c r="A13" s="3" t="s">
        <v>49</v>
      </c>
      <c r="B13" s="4" t="s">
        <v>50</v>
      </c>
      <c r="C13" s="3" t="s">
        <v>51</v>
      </c>
      <c r="D13" s="3" t="s">
        <v>52</v>
      </c>
      <c r="E13" s="5" t="n">
        <v>45</v>
      </c>
      <c r="F13" s="5" t="n">
        <v>120</v>
      </c>
      <c r="G13" s="5" t="n">
        <v>55</v>
      </c>
      <c r="H13" s="5" t="n">
        <v>40</v>
      </c>
      <c r="I13" s="5" t="n">
        <v>35</v>
      </c>
      <c r="J13" s="5" t="n">
        <f aca="false">SUM(G13:I13)</f>
        <v>130</v>
      </c>
      <c r="K13" s="5" t="n">
        <f aca="false">J13*E13</f>
        <v>5850</v>
      </c>
      <c r="L13" s="3" t="str">
        <f aca="false">IF(J13&lt;=F13,"⚠️ ต้องสั่งเพิ่ม","✅ ปกติ")</f>
        <v>✅ ปกติ</v>
      </c>
    </row>
    <row r="14" customFormat="false" ht="15" hidden="false" customHeight="false" outlineLevel="0" collapsed="false">
      <c r="A14" s="6" t="s">
        <v>53</v>
      </c>
      <c r="B14" s="7" t="s">
        <v>54</v>
      </c>
      <c r="C14" s="6" t="s">
        <v>47</v>
      </c>
      <c r="D14" s="6" t="s">
        <v>55</v>
      </c>
      <c r="E14" s="8" t="n">
        <v>1250</v>
      </c>
      <c r="F14" s="8" t="n">
        <v>10</v>
      </c>
      <c r="G14" s="5" t="n">
        <v>4</v>
      </c>
      <c r="H14" s="5" t="n">
        <v>0</v>
      </c>
      <c r="I14" s="5" t="n">
        <v>3</v>
      </c>
      <c r="J14" s="8" t="n">
        <f aca="false">SUM(G14:I14)</f>
        <v>7</v>
      </c>
      <c r="K14" s="8" t="n">
        <f aca="false">J14*E14</f>
        <v>8750</v>
      </c>
      <c r="L14" s="6" t="str">
        <f aca="false">IF(J14&lt;=F14,"⚠️ ต้องสั่งเพิ่ม","✅ ปกติ")</f>
        <v>⚠️ ต้องสั่งเพิ่ม</v>
      </c>
    </row>
    <row r="16" customFormat="false" ht="15" hidden="false" customHeight="false" outlineLevel="0" collapsed="false">
      <c r="A16" s="9" t="s">
        <v>56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</cols>
  <sheetData>
    <row r="1" customFormat="false" ht="25.5" hidden="false" customHeight="true" outlineLevel="0" collapsed="false">
      <c r="A1" s="1" t="s">
        <v>57</v>
      </c>
      <c r="B1" s="1"/>
    </row>
    <row r="3" customFormat="false" ht="19.5" hidden="false" customHeight="true" outlineLevel="0" collapsed="false">
      <c r="A3" s="10" t="s">
        <v>58</v>
      </c>
      <c r="B3" s="5" t="n">
        <f aca="false">SUM(Master!K3:K14)</f>
        <v>91685</v>
      </c>
    </row>
    <row r="4" customFormat="false" ht="19.5" hidden="false" customHeight="true" outlineLevel="0" collapsed="false">
      <c r="A4" s="10" t="s">
        <v>59</v>
      </c>
      <c r="B4" s="5" t="n">
        <f aca="false">SUM(Master!J3:J14)</f>
        <v>869</v>
      </c>
    </row>
    <row r="5" customFormat="false" ht="19.5" hidden="false" customHeight="true" outlineLevel="0" collapsed="false">
      <c r="A5" s="10" t="s">
        <v>60</v>
      </c>
      <c r="B5" s="5" t="n">
        <f aca="false">COUNTA(Master!A3:A14)</f>
        <v>12</v>
      </c>
    </row>
    <row r="6" customFormat="false" ht="19.5" hidden="false" customHeight="true" outlineLevel="0" collapsed="false">
      <c r="A6" s="10" t="s">
        <v>61</v>
      </c>
      <c r="B6" s="5" t="n">
        <f aca="false">SUMPRODUCT(--(Master!J3:J14&lt;=Master!F3:F14))</f>
        <v>4</v>
      </c>
    </row>
    <row r="7" customFormat="false" ht="19.5" hidden="false" customHeight="true" outlineLevel="0" collapsed="false">
      <c r="A7" s="10" t="s">
        <v>62</v>
      </c>
      <c r="B7" s="5" t="n">
        <f aca="false">B3/B5</f>
        <v>7640.41666666667</v>
      </c>
    </row>
    <row r="8" customFormat="false" ht="19.5" hidden="false" customHeight="true" outlineLevel="0" collapsed="false">
      <c r="A8" s="10" t="s">
        <v>63</v>
      </c>
      <c r="B8" s="5" t="n">
        <f aca="false">SUMPRODUCT(Master!G3:G14,Master!E3:E14)</f>
        <v>44210</v>
      </c>
    </row>
    <row r="9" customFormat="false" ht="19.5" hidden="false" customHeight="true" outlineLevel="0" collapsed="false">
      <c r="A9" s="10" t="s">
        <v>64</v>
      </c>
      <c r="B9" s="5" t="n">
        <f aca="false">SUMPRODUCT(Master!H3:H14,Master!E3:E14)</f>
        <v>24580</v>
      </c>
    </row>
    <row r="10" customFormat="false" ht="19.5" hidden="false" customHeight="true" outlineLevel="0" collapsed="false">
      <c r="A10" s="10" t="s">
        <v>65</v>
      </c>
      <c r="B10" s="5" t="n">
        <f aca="false">SUMPRODUCT(Master!I3:I14,Master!E3:E14)</f>
        <v>22895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2026-07-10T16:18:07Z</dcterms:created>
  <dc:creator>openpyxl</dc:creator>
  <dc:description/>
  <dc:language>en-US</dc:language>
  <cp:lastModifiedBy/>
  <dcterms:modified xsi:type="dcterms:W3CDTF">2026-07-10T16:18:07Z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